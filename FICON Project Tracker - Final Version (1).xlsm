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drawings/drawing3.xml" ContentType="application/vnd.openxmlformats-officedocument.drawing+xml"/>
  <Override PartName="/xl/activeX/activeX11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drawings/drawing6.xml" ContentType="application/vnd.openxmlformats-officedocument.drawing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drawings/drawing7.xml" ContentType="application/vnd.openxmlformats-officedocument.drawing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drawings/drawing8.xml" ContentType="application/vnd.openxmlformats-officedocument.drawing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florida.sharepoint.com/teams/SeniorDesignFinalProject/Shared Documents/General/"/>
    </mc:Choice>
  </mc:AlternateContent>
  <xr:revisionPtr revIDLastSave="172" documentId="8_{DF5AEB70-A5BE-4571-A7AA-120F6F78F689}" xr6:coauthVersionLast="45" xr6:coauthVersionMax="45" xr10:uidLastSave="{14C77362-998F-43D1-905F-61B93D07B5E0}"/>
  <bookViews>
    <workbookView xWindow="-96" yWindow="-96" windowWidth="21864" windowHeight="13152" xr2:uid="{D81D9638-2613-4EF6-B387-6758BA935669}"/>
  </bookViews>
  <sheets>
    <sheet name="Start" sheetId="13" r:id="rId1"/>
    <sheet name="Control Panel" sheetId="27" state="hidden" r:id="rId2"/>
    <sheet name="Passwords" sheetId="32" state="veryHidden" r:id="rId3"/>
    <sheet name="Operator Data" sheetId="14" state="hidden" r:id="rId4"/>
    <sheet name="Work Data" sheetId="15" state="hidden" r:id="rId5"/>
    <sheet name="QC Data" sheetId="38" state="hidden" r:id="rId6"/>
    <sheet name="Project Master Data" sheetId="20" state="hidden" r:id="rId7"/>
    <sheet name="Project A" sheetId="42" state="hidden" r:id="rId8"/>
    <sheet name="test" sheetId="43" state="hidden" r:id="rId9"/>
    <sheet name="Project Data Template" sheetId="16" state="hidden" r:id="rId10"/>
  </sheets>
  <definedNames>
    <definedName name="_xlnm._FilterDatabase" localSheetId="5" hidden="1">'QC Data'!$A$1:$J$2</definedName>
    <definedName name="_xlnm._FilterDatabase" localSheetId="4" hidden="1">'Work Data'!$A$1:$C$6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" i="15" l="1"/>
  <c r="I7" i="15"/>
  <c r="B7" i="42" s="1"/>
  <c r="B9" i="42" s="1"/>
  <c r="B7" i="43"/>
  <c r="B9" i="43" s="1"/>
  <c r="I6" i="15"/>
  <c r="I5" i="15"/>
  <c r="I3" i="15"/>
  <c r="I4" i="15"/>
  <c r="I2" i="15"/>
  <c r="L4" i="42"/>
  <c r="L5" i="42"/>
  <c r="L6" i="42"/>
  <c r="L7" i="42"/>
  <c r="L8" i="42"/>
  <c r="L9" i="42"/>
  <c r="L10" i="42"/>
  <c r="L11" i="42"/>
  <c r="L12" i="42"/>
  <c r="L3" i="42"/>
  <c r="B9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Zimmermann</author>
  </authors>
  <commentList>
    <comment ref="B1" authorId="0" shapeId="0" xr:uid="{85453EA8-8257-4E47-9ED6-28856F834C29}">
      <text>
        <r>
          <rPr>
            <b/>
            <sz val="9"/>
            <color indexed="81"/>
            <rFont val="Tahoma"/>
            <family val="2"/>
          </rPr>
          <t>Nick Zimmermann:</t>
        </r>
        <r>
          <rPr>
            <sz val="9"/>
            <color indexed="81"/>
            <rFont val="Tahoma"/>
            <family val="2"/>
          </rPr>
          <t xml:space="preserve">
This is the row number in the Work Data sheet that this operator is currently working on.  A blank value indicates that they aren't currently working</t>
        </r>
      </text>
    </comment>
  </commentList>
</comments>
</file>

<file path=xl/sharedStrings.xml><?xml version="1.0" encoding="utf-8"?>
<sst xmlns="http://schemas.openxmlformats.org/spreadsheetml/2006/main" count="149" uniqueCount="67">
  <si>
    <t>Username:</t>
  </si>
  <si>
    <t>Password:</t>
  </si>
  <si>
    <t>Project</t>
  </si>
  <si>
    <t>Process</t>
  </si>
  <si>
    <t>Processing</t>
  </si>
  <si>
    <t>Name</t>
  </si>
  <si>
    <t>Freddy Finisher</t>
  </si>
  <si>
    <t>Wally Welder</t>
  </si>
  <si>
    <t>Sammy Sandblaster</t>
  </si>
  <si>
    <t>Brian Burner</t>
  </si>
  <si>
    <t>Operator</t>
  </si>
  <si>
    <t>Start</t>
  </si>
  <si>
    <t>Part</t>
  </si>
  <si>
    <t>Stop</t>
  </si>
  <si>
    <t>QTY</t>
  </si>
  <si>
    <t>Elasped Time</t>
  </si>
  <si>
    <t>Name:</t>
  </si>
  <si>
    <t>Job Number:</t>
  </si>
  <si>
    <t>Customer:</t>
  </si>
  <si>
    <t>Price:</t>
  </si>
  <si>
    <t>Due Date:</t>
  </si>
  <si>
    <t>Description</t>
  </si>
  <si>
    <t>Width</t>
  </si>
  <si>
    <t>Weight</t>
  </si>
  <si>
    <t>Basic Info</t>
  </si>
  <si>
    <t>BOM (Bill of Materials)</t>
  </si>
  <si>
    <t>Current Work Entry</t>
  </si>
  <si>
    <t>Job Number</t>
  </si>
  <si>
    <t>Customer</t>
  </si>
  <si>
    <t>Price</t>
  </si>
  <si>
    <t>Due Date</t>
  </si>
  <si>
    <t>User</t>
  </si>
  <si>
    <t>Password</t>
  </si>
  <si>
    <t>admin</t>
  </si>
  <si>
    <t>password</t>
  </si>
  <si>
    <t>Drawing #</t>
  </si>
  <si>
    <t>Project A</t>
  </si>
  <si>
    <t>Projects</t>
  </si>
  <si>
    <t>Navigation</t>
  </si>
  <si>
    <t>Other</t>
  </si>
  <si>
    <t>D1</t>
  </si>
  <si>
    <t>D2</t>
  </si>
  <si>
    <t>D3</t>
  </si>
  <si>
    <t>D4</t>
  </si>
  <si>
    <t>Defect Description</t>
  </si>
  <si>
    <t>Cause</t>
  </si>
  <si>
    <t>Action to be Taken</t>
  </si>
  <si>
    <t>Date</t>
  </si>
  <si>
    <t>Approved By</t>
  </si>
  <si>
    <t>Item #</t>
  </si>
  <si>
    <t>Item Description</t>
  </si>
  <si>
    <t>Total Manhours:</t>
  </si>
  <si>
    <t>QTY thru QC</t>
  </si>
  <si>
    <t>Total Manhours</t>
  </si>
  <si>
    <t>(Inspector Name)</t>
  </si>
  <si>
    <t>Length FT</t>
  </si>
  <si>
    <t>Length IN</t>
  </si>
  <si>
    <t>Bid Manhours:</t>
  </si>
  <si>
    <t>Remaining hours:</t>
  </si>
  <si>
    <t>Carrie Customer</t>
  </si>
  <si>
    <t>Welding</t>
  </si>
  <si>
    <t>Cutting</t>
  </si>
  <si>
    <t>scratches</t>
  </si>
  <si>
    <t>Operator error</t>
  </si>
  <si>
    <t>Rework</t>
  </si>
  <si>
    <t>test</t>
  </si>
  <si>
    <t>Drawing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</si>
</sst>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h]:mm:ss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2" fontId="2" fillId="0" borderId="0">
      <alignment horizontal="center"/>
    </xf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6" fontId="0" fillId="0" borderId="0" xfId="0" applyNumberFormat="1"/>
    <xf numFmtId="14" fontId="0" fillId="0" borderId="0" xfId="0" applyNumberFormat="1"/>
    <xf numFmtId="0" fontId="0" fillId="0" borderId="2" xfId="0" applyBorder="1"/>
    <xf numFmtId="0" fontId="1" fillId="0" borderId="2" xfId="0" applyFont="1" applyBorder="1"/>
    <xf numFmtId="0" fontId="1" fillId="0" borderId="1" xfId="0" applyFont="1" applyBorder="1"/>
    <xf numFmtId="0" fontId="0" fillId="0" borderId="1" xfId="0" applyBorder="1"/>
    <xf numFmtId="164" fontId="0" fillId="0" borderId="0" xfId="0" applyNumberFormat="1"/>
    <xf numFmtId="164" fontId="1" fillId="0" borderId="0" xfId="0" applyNumberFormat="1" applyFont="1"/>
    <xf numFmtId="14" fontId="1" fillId="0" borderId="0" xfId="0" applyNumberFormat="1" applyFont="1"/>
    <xf numFmtId="44" fontId="1" fillId="0" borderId="0" xfId="7" applyFont="1"/>
    <xf numFmtId="44" fontId="0" fillId="0" borderId="0" xfId="7" applyFont="1"/>
    <xf numFmtId="0" fontId="1" fillId="0" borderId="0" xfId="0" applyNumberFormat="1" applyFont="1"/>
    <xf numFmtId="0" fontId="0" fillId="0" borderId="0" xfId="0" applyNumberFormat="1"/>
    <xf numFmtId="0" fontId="0" fillId="0" borderId="0" xfId="0" applyBorder="1"/>
    <xf numFmtId="22" fontId="0" fillId="0" borderId="0" xfId="0" applyNumberFormat="1"/>
    <xf numFmtId="22" fontId="0" fillId="0" borderId="1" xfId="0" applyNumberFormat="1" applyBorder="1"/>
    <xf numFmtId="0" fontId="1" fillId="0" borderId="3" xfId="0" applyFont="1" applyBorder="1"/>
    <xf numFmtId="0" fontId="0" fillId="0" borderId="3" xfId="0" applyBorder="1"/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8">
    <cellStyle name="Comma 2" xfId="5" xr:uid="{CAD35EC1-88FD-490B-8044-F9142B9774B6}"/>
    <cellStyle name="Comma 3" xfId="2" xr:uid="{BCC3E5F4-57E2-4375-A126-CC9CF3638EAF}"/>
    <cellStyle name="Currency" xfId="7" builtinId="4"/>
    <cellStyle name="Currency 2" xfId="6" xr:uid="{E19F3393-E09D-45A0-9803-F66F5B70F858}"/>
    <cellStyle name="Currency 3" xfId="3" xr:uid="{D3035B56-C3AC-4347-A3BE-18421796FE5C}"/>
    <cellStyle name="Normal" xfId="0" builtinId="0"/>
    <cellStyle name="Normal 2" xfId="1" xr:uid="{7EB60F4B-1F21-4BA5-9483-CEAE29E20954}"/>
    <cellStyle name="Percent 2" xfId="4" xr:uid="{BF764A48-5B5C-4E26-A2FB-78282D9A5C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</xdr:colOff>
          <xdr:row>1</xdr:row>
          <xdr:rowOff>0</xdr:rowOff>
        </xdr:from>
        <xdr:to>
          <xdr:col>5</xdr:col>
          <xdr:colOff>0</xdr:colOff>
          <xdr:row>4</xdr:row>
          <xdr:rowOff>11430</xdr:rowOff>
        </xdr:to>
        <xdr:sp macro="" textlink="">
          <xdr:nvSpPr>
            <xdr:cNvPr id="38913" name="btnOperator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636270</xdr:colOff>
          <xdr:row>4</xdr:row>
          <xdr:rowOff>7620</xdr:rowOff>
        </xdr:to>
        <xdr:sp macro="" textlink="">
          <xdr:nvSpPr>
            <xdr:cNvPr id="38914" name="btnAdmin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0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</xdr:colOff>
          <xdr:row>5</xdr:row>
          <xdr:rowOff>0</xdr:rowOff>
        </xdr:from>
        <xdr:to>
          <xdr:col>5</xdr:col>
          <xdr:colOff>7620</xdr:colOff>
          <xdr:row>8</xdr:row>
          <xdr:rowOff>0</xdr:rowOff>
        </xdr:to>
        <xdr:sp macro="" textlink="">
          <xdr:nvSpPr>
            <xdr:cNvPr id="38917" name="btnQC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0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9</xdr:row>
          <xdr:rowOff>179070</xdr:rowOff>
        </xdr:from>
        <xdr:to>
          <xdr:col>7</xdr:col>
          <xdr:colOff>628650</xdr:colOff>
          <xdr:row>12</xdr:row>
          <xdr:rowOff>171450</xdr:rowOff>
        </xdr:to>
        <xdr:sp macro="" textlink="">
          <xdr:nvSpPr>
            <xdr:cNvPr id="60417" name="btnBacktoStart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1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179070</xdr:rowOff>
        </xdr:from>
        <xdr:to>
          <xdr:col>3</xdr:col>
          <xdr:colOff>628650</xdr:colOff>
          <xdr:row>8</xdr:row>
          <xdr:rowOff>171450</xdr:rowOff>
        </xdr:to>
        <xdr:sp macro="" textlink="">
          <xdr:nvSpPr>
            <xdr:cNvPr id="60418" name="btnNewProject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1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3</xdr:col>
          <xdr:colOff>628650</xdr:colOff>
          <xdr:row>13</xdr:row>
          <xdr:rowOff>0</xdr:rowOff>
        </xdr:to>
        <xdr:sp macro="" textlink="">
          <xdr:nvSpPr>
            <xdr:cNvPr id="60419" name="btnCloseProject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1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</xdr:row>
          <xdr:rowOff>179070</xdr:rowOff>
        </xdr:from>
        <xdr:to>
          <xdr:col>7</xdr:col>
          <xdr:colOff>628650</xdr:colOff>
          <xdr:row>4</xdr:row>
          <xdr:rowOff>171450</xdr:rowOff>
        </xdr:to>
        <xdr:sp macro="" textlink="">
          <xdr:nvSpPr>
            <xdr:cNvPr id="60420" name="btnShowAll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1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6</xdr:row>
          <xdr:rowOff>0</xdr:rowOff>
        </xdr:from>
        <xdr:to>
          <xdr:col>7</xdr:col>
          <xdr:colOff>628650</xdr:colOff>
          <xdr:row>8</xdr:row>
          <xdr:rowOff>179070</xdr:rowOff>
        </xdr:to>
        <xdr:sp macro="" textlink="">
          <xdr:nvSpPr>
            <xdr:cNvPr id="60421" name="btnHideAll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1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179070</xdr:rowOff>
        </xdr:from>
        <xdr:to>
          <xdr:col>3</xdr:col>
          <xdr:colOff>628650</xdr:colOff>
          <xdr:row>4</xdr:row>
          <xdr:rowOff>171450</xdr:rowOff>
        </xdr:to>
        <xdr:sp macro="" textlink="">
          <xdr:nvSpPr>
            <xdr:cNvPr id="60422" name="btnViewProject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1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2</xdr:row>
          <xdr:rowOff>7620</xdr:rowOff>
        </xdr:from>
        <xdr:to>
          <xdr:col>11</xdr:col>
          <xdr:colOff>628650</xdr:colOff>
          <xdr:row>5</xdr:row>
          <xdr:rowOff>0</xdr:rowOff>
        </xdr:to>
        <xdr:sp macro="" textlink="">
          <xdr:nvSpPr>
            <xdr:cNvPr id="60423" name="btnEditOperators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01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148590</xdr:colOff>
      <xdr:row>13</xdr:row>
      <xdr:rowOff>125730</xdr:rowOff>
    </xdr:from>
    <xdr:to>
      <xdr:col>3</xdr:col>
      <xdr:colOff>556260</xdr:colOff>
      <xdr:row>26</xdr:row>
      <xdr:rowOff>83820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8670" y="2503170"/>
          <a:ext cx="1680210" cy="233553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*Note that closing projects requires setting up a computer specific filepath in the Backstage.GetPath1 function</a:t>
          </a:r>
        </a:p>
        <a:p>
          <a:endParaRPr lang="en-US" sz="1100"/>
        </a:p>
        <a:p>
          <a:r>
            <a:rPr lang="en-US" sz="1100"/>
            <a:t>This</a:t>
          </a:r>
          <a:r>
            <a:rPr lang="en-US" sz="1100" baseline="0"/>
            <a:t> setup was preformed on FI-CON's computer.  Attempting to close a project without this setup will give a popup explaining this.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45058" name="btnBacktoCP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6</xdr:row>
          <xdr:rowOff>3810</xdr:rowOff>
        </xdr:from>
        <xdr:to>
          <xdr:col>13</xdr:col>
          <xdr:colOff>7620</xdr:colOff>
          <xdr:row>8</xdr:row>
          <xdr:rowOff>179070</xdr:rowOff>
        </xdr:to>
        <xdr:sp macro="" textlink="">
          <xdr:nvSpPr>
            <xdr:cNvPr id="74753" name="btnViewProj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4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10</xdr:row>
          <xdr:rowOff>3810</xdr:rowOff>
        </xdr:from>
        <xdr:to>
          <xdr:col>13</xdr:col>
          <xdr:colOff>7620</xdr:colOff>
          <xdr:row>12</xdr:row>
          <xdr:rowOff>179070</xdr:rowOff>
        </xdr:to>
        <xdr:sp macro="" textlink="">
          <xdr:nvSpPr>
            <xdr:cNvPr id="74754" name="btnViewQC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4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</xdr:row>
          <xdr:rowOff>0</xdr:rowOff>
        </xdr:from>
        <xdr:to>
          <xdr:col>13</xdr:col>
          <xdr:colOff>7620</xdr:colOff>
          <xdr:row>4</xdr:row>
          <xdr:rowOff>175260</xdr:rowOff>
        </xdr:to>
        <xdr:sp macro="" textlink="">
          <xdr:nvSpPr>
            <xdr:cNvPr id="74755" name="btnDone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4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6</xdr:row>
          <xdr:rowOff>7620</xdr:rowOff>
        </xdr:from>
        <xdr:to>
          <xdr:col>15</xdr:col>
          <xdr:colOff>7620</xdr:colOff>
          <xdr:row>9</xdr:row>
          <xdr:rowOff>0</xdr:rowOff>
        </xdr:to>
        <xdr:sp macro="" textlink="">
          <xdr:nvSpPr>
            <xdr:cNvPr id="76801" name="btnViewProj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5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10</xdr:row>
          <xdr:rowOff>7620</xdr:rowOff>
        </xdr:from>
        <xdr:to>
          <xdr:col>15</xdr:col>
          <xdr:colOff>7620</xdr:colOff>
          <xdr:row>13</xdr:row>
          <xdr:rowOff>0</xdr:rowOff>
        </xdr:to>
        <xdr:sp macro="" textlink="">
          <xdr:nvSpPr>
            <xdr:cNvPr id="76802" name="btnViewWork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5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2</xdr:row>
          <xdr:rowOff>0</xdr:rowOff>
        </xdr:from>
        <xdr:to>
          <xdr:col>15</xdr:col>
          <xdr:colOff>7620</xdr:colOff>
          <xdr:row>4</xdr:row>
          <xdr:rowOff>175260</xdr:rowOff>
        </xdr:to>
        <xdr:sp macro="" textlink="">
          <xdr:nvSpPr>
            <xdr:cNvPr id="76803" name="btnDone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5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13</xdr:row>
          <xdr:rowOff>0</xdr:rowOff>
        </xdr:from>
        <xdr:to>
          <xdr:col>2</xdr:col>
          <xdr:colOff>0</xdr:colOff>
          <xdr:row>16</xdr:row>
          <xdr:rowOff>7620</xdr:rowOff>
        </xdr:to>
        <xdr:sp macro="" textlink="">
          <xdr:nvSpPr>
            <xdr:cNvPr id="87041" name="btnDone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7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17</xdr:row>
          <xdr:rowOff>0</xdr:rowOff>
        </xdr:from>
        <xdr:to>
          <xdr:col>2</xdr:col>
          <xdr:colOff>0</xdr:colOff>
          <xdr:row>20</xdr:row>
          <xdr:rowOff>7620</xdr:rowOff>
        </xdr:to>
        <xdr:sp macro="" textlink="">
          <xdr:nvSpPr>
            <xdr:cNvPr id="87042" name="btnViewWork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7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21</xdr:row>
          <xdr:rowOff>0</xdr:rowOff>
        </xdr:from>
        <xdr:to>
          <xdr:col>2</xdr:col>
          <xdr:colOff>0</xdr:colOff>
          <xdr:row>24</xdr:row>
          <xdr:rowOff>7620</xdr:rowOff>
        </xdr:to>
        <xdr:sp macro="" textlink="">
          <xdr:nvSpPr>
            <xdr:cNvPr id="87043" name="btnViewQC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7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13</xdr:row>
          <xdr:rowOff>0</xdr:rowOff>
        </xdr:from>
        <xdr:to>
          <xdr:col>2</xdr:col>
          <xdr:colOff>0</xdr:colOff>
          <xdr:row>16</xdr:row>
          <xdr:rowOff>7620</xdr:rowOff>
        </xdr:to>
        <xdr:sp macro="" textlink="">
          <xdr:nvSpPr>
            <xdr:cNvPr id="88065" name="btnDone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8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17</xdr:row>
          <xdr:rowOff>0</xdr:rowOff>
        </xdr:from>
        <xdr:to>
          <xdr:col>2</xdr:col>
          <xdr:colOff>0</xdr:colOff>
          <xdr:row>20</xdr:row>
          <xdr:rowOff>7620</xdr:rowOff>
        </xdr:to>
        <xdr:sp macro="" textlink="">
          <xdr:nvSpPr>
            <xdr:cNvPr id="88066" name="btnViewWork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8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21</xdr:row>
          <xdr:rowOff>0</xdr:rowOff>
        </xdr:from>
        <xdr:to>
          <xdr:col>2</xdr:col>
          <xdr:colOff>0</xdr:colOff>
          <xdr:row>24</xdr:row>
          <xdr:rowOff>7620</xdr:rowOff>
        </xdr:to>
        <xdr:sp macro="" textlink="">
          <xdr:nvSpPr>
            <xdr:cNvPr id="88067" name="btnViewQC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8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13</xdr:row>
          <xdr:rowOff>0</xdr:rowOff>
        </xdr:from>
        <xdr:to>
          <xdr:col>2</xdr:col>
          <xdr:colOff>0</xdr:colOff>
          <xdr:row>16</xdr:row>
          <xdr:rowOff>7620</xdr:rowOff>
        </xdr:to>
        <xdr:sp macro="" textlink="">
          <xdr:nvSpPr>
            <xdr:cNvPr id="66561" name="btnDon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9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17</xdr:row>
          <xdr:rowOff>0</xdr:rowOff>
        </xdr:from>
        <xdr:to>
          <xdr:col>2</xdr:col>
          <xdr:colOff>0</xdr:colOff>
          <xdr:row>20</xdr:row>
          <xdr:rowOff>7620</xdr:rowOff>
        </xdr:to>
        <xdr:sp macro="" textlink="">
          <xdr:nvSpPr>
            <xdr:cNvPr id="66563" name="btnViewWork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9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21</xdr:row>
          <xdr:rowOff>0</xdr:rowOff>
        </xdr:from>
        <xdr:to>
          <xdr:col>2</xdr:col>
          <xdr:colOff>0</xdr:colOff>
          <xdr:row>24</xdr:row>
          <xdr:rowOff>7620</xdr:rowOff>
        </xdr:to>
        <xdr:sp macro="" textlink="">
          <xdr:nvSpPr>
            <xdr:cNvPr id="66564" name="btnViewQC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9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9.emf"/><Relationship Id="rId5" Type="http://schemas.openxmlformats.org/officeDocument/2006/relationships/control" Target="../activeX/activeX19.xml"/><Relationship Id="rId4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2.emf"/><Relationship Id="rId5" Type="http://schemas.openxmlformats.org/officeDocument/2006/relationships/control" Target="../activeX/activeX22.xml"/><Relationship Id="rId4" Type="http://schemas.openxmlformats.org/officeDocument/2006/relationships/image" Target="../media/image2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4.xml"/><Relationship Id="rId7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5.emf"/><Relationship Id="rId5" Type="http://schemas.openxmlformats.org/officeDocument/2006/relationships/control" Target="../activeX/activeX25.xml"/><Relationship Id="rId4" Type="http://schemas.openxmlformats.org/officeDocument/2006/relationships/image" Target="../media/image2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AD27F-12B6-471A-9FDB-DB98C19C13E4}">
  <sheetPr codeName="Sheet1"/>
  <dimension ref="K2:L3"/>
  <sheetViews>
    <sheetView tabSelected="1" zoomScaleNormal="100" workbookViewId="0">
      <selection activeCell="G10" sqref="G10"/>
    </sheetView>
  </sheetViews>
  <sheetFormatPr defaultRowHeight="14.4" x14ac:dyDescent="0.55000000000000004"/>
  <cols>
    <col min="11" max="11" width="9.26171875" bestFit="1" customWidth="1"/>
  </cols>
  <sheetData>
    <row r="2" spans="11:12" x14ac:dyDescent="0.55000000000000004">
      <c r="K2" t="s">
        <v>0</v>
      </c>
      <c r="L2" t="s">
        <v>33</v>
      </c>
    </row>
    <row r="3" spans="11:12" x14ac:dyDescent="0.55000000000000004">
      <c r="K3" t="s">
        <v>1</v>
      </c>
      <c r="L3" t="s">
        <v>34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913" r:id="rId3" name="btnOperators">
          <controlPr defaultSize="0" autoLine="0" autoPict="0" r:id="rId4">
            <anchor moveWithCells="1">
              <from>
                <xdr:col>2</xdr:col>
                <xdr:colOff>11430</xdr:colOff>
                <xdr:row>1</xdr:row>
                <xdr:rowOff>0</xdr:rowOff>
              </from>
              <to>
                <xdr:col>5</xdr:col>
                <xdr:colOff>0</xdr:colOff>
                <xdr:row>4</xdr:row>
                <xdr:rowOff>11430</xdr:rowOff>
              </to>
            </anchor>
          </controlPr>
        </control>
      </mc:Choice>
      <mc:Fallback>
        <control shapeId="38913" r:id="rId3" name="btnOperators"/>
      </mc:Fallback>
    </mc:AlternateContent>
    <mc:AlternateContent xmlns:mc="http://schemas.openxmlformats.org/markup-compatibility/2006">
      <mc:Choice Requires="x14">
        <control shapeId="38914" r:id="rId5" name="btnAdmin">
          <controlPr defaultSize="0" autoLine="0" autoPict="0" r:id="rId6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636270</xdr:colOff>
                <xdr:row>4</xdr:row>
                <xdr:rowOff>7620</xdr:rowOff>
              </to>
            </anchor>
          </controlPr>
        </control>
      </mc:Choice>
      <mc:Fallback>
        <control shapeId="38914" r:id="rId5" name="btnAdmin"/>
      </mc:Fallback>
    </mc:AlternateContent>
    <mc:AlternateContent xmlns:mc="http://schemas.openxmlformats.org/markup-compatibility/2006">
      <mc:Choice Requires="x14">
        <control shapeId="38917" r:id="rId7" name="btnQC">
          <controlPr defaultSize="0" autoLine="0" autoPict="0" r:id="rId8">
            <anchor moveWithCells="1">
              <from>
                <xdr:col>2</xdr:col>
                <xdr:colOff>11430</xdr:colOff>
                <xdr:row>5</xdr:row>
                <xdr:rowOff>0</xdr:rowOff>
              </from>
              <to>
                <xdr:col>5</xdr:col>
                <xdr:colOff>7620</xdr:colOff>
                <xdr:row>8</xdr:row>
                <xdr:rowOff>0</xdr:rowOff>
              </to>
            </anchor>
          </controlPr>
        </control>
      </mc:Choice>
      <mc:Fallback>
        <control shapeId="38917" r:id="rId7" name="btnQ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DA1F-2E35-4210-B7BA-6020B4039F08}">
  <sheetPr codeName="Sheet2"/>
  <dimension ref="B1:M1"/>
  <sheetViews>
    <sheetView workbookViewId="0">
      <selection activeCell="F18" sqref="F18"/>
    </sheetView>
  </sheetViews>
  <sheetFormatPr defaultRowHeight="14.4" x14ac:dyDescent="0.55000000000000004"/>
  <cols>
    <col min="2" max="2" width="8.7890625" style="7"/>
    <col min="3" max="4" width="8.7890625" style="15"/>
    <col min="5" max="6" width="8.7890625" style="7"/>
    <col min="7" max="8" width="8.7890625" style="15"/>
    <col min="9" max="10" width="8.7890625" style="7"/>
    <col min="11" max="12" width="8.7890625" style="15"/>
    <col min="13" max="13" width="8.7890625" style="7"/>
  </cols>
  <sheetData>
    <row r="1" spans="2:12" x14ac:dyDescent="0.55000000000000004">
      <c r="B1" s="20" t="s">
        <v>37</v>
      </c>
      <c r="C1" s="21"/>
      <c r="D1" s="21"/>
      <c r="F1" s="20" t="s">
        <v>38</v>
      </c>
      <c r="G1" s="21"/>
      <c r="H1" s="21"/>
      <c r="J1" s="20" t="s">
        <v>39</v>
      </c>
      <c r="K1" s="21"/>
      <c r="L1" s="21"/>
    </row>
  </sheetData>
  <mergeCells count="3">
    <mergeCell ref="B1:D1"/>
    <mergeCell ref="F1:H1"/>
    <mergeCell ref="J1:L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0423" r:id="rId4" name="btnEditOperators">
          <controlPr defaultSize="0" autoLine="0" autoPict="0" r:id="rId5">
            <anchor moveWithCells="1">
              <from>
                <xdr:col>9</xdr:col>
                <xdr:colOff>7620</xdr:colOff>
                <xdr:row>2</xdr:row>
                <xdr:rowOff>7620</xdr:rowOff>
              </from>
              <to>
                <xdr:col>11</xdr:col>
                <xdr:colOff>628650</xdr:colOff>
                <xdr:row>5</xdr:row>
                <xdr:rowOff>0</xdr:rowOff>
              </to>
            </anchor>
          </controlPr>
        </control>
      </mc:Choice>
      <mc:Fallback>
        <control shapeId="60423" r:id="rId4" name="btnEditOperators"/>
      </mc:Fallback>
    </mc:AlternateContent>
    <mc:AlternateContent xmlns:mc="http://schemas.openxmlformats.org/markup-compatibility/2006">
      <mc:Choice Requires="x14">
        <control shapeId="60422" r:id="rId6" name="btnViewProject">
          <controlPr defaultSize="0" autoLine="0" autoPict="0" r:id="rId7">
            <anchor moveWithCells="1">
              <from>
                <xdr:col>1</xdr:col>
                <xdr:colOff>7620</xdr:colOff>
                <xdr:row>1</xdr:row>
                <xdr:rowOff>179070</xdr:rowOff>
              </from>
              <to>
                <xdr:col>3</xdr:col>
                <xdr:colOff>628650</xdr:colOff>
                <xdr:row>4</xdr:row>
                <xdr:rowOff>171450</xdr:rowOff>
              </to>
            </anchor>
          </controlPr>
        </control>
      </mc:Choice>
      <mc:Fallback>
        <control shapeId="60422" r:id="rId6" name="btnViewProject"/>
      </mc:Fallback>
    </mc:AlternateContent>
    <mc:AlternateContent xmlns:mc="http://schemas.openxmlformats.org/markup-compatibility/2006">
      <mc:Choice Requires="x14">
        <control shapeId="60421" r:id="rId8" name="btnHideAll">
          <controlPr defaultSize="0" autoLine="0" autoPict="0" r:id="rId9">
            <anchor moveWithCells="1">
              <from>
                <xdr:col>5</xdr:col>
                <xdr:colOff>7620</xdr:colOff>
                <xdr:row>6</xdr:row>
                <xdr:rowOff>0</xdr:rowOff>
              </from>
              <to>
                <xdr:col>7</xdr:col>
                <xdr:colOff>628650</xdr:colOff>
                <xdr:row>8</xdr:row>
                <xdr:rowOff>179070</xdr:rowOff>
              </to>
            </anchor>
          </controlPr>
        </control>
      </mc:Choice>
      <mc:Fallback>
        <control shapeId="60421" r:id="rId8" name="btnHideAll"/>
      </mc:Fallback>
    </mc:AlternateContent>
    <mc:AlternateContent xmlns:mc="http://schemas.openxmlformats.org/markup-compatibility/2006">
      <mc:Choice Requires="x14">
        <control shapeId="60420" r:id="rId10" name="btnShowAll">
          <controlPr defaultSize="0" autoLine="0" autoPict="0" r:id="rId11">
            <anchor moveWithCells="1">
              <from>
                <xdr:col>5</xdr:col>
                <xdr:colOff>7620</xdr:colOff>
                <xdr:row>1</xdr:row>
                <xdr:rowOff>179070</xdr:rowOff>
              </from>
              <to>
                <xdr:col>7</xdr:col>
                <xdr:colOff>628650</xdr:colOff>
                <xdr:row>4</xdr:row>
                <xdr:rowOff>171450</xdr:rowOff>
              </to>
            </anchor>
          </controlPr>
        </control>
      </mc:Choice>
      <mc:Fallback>
        <control shapeId="60420" r:id="rId10" name="btnShowAll"/>
      </mc:Fallback>
    </mc:AlternateContent>
    <mc:AlternateContent xmlns:mc="http://schemas.openxmlformats.org/markup-compatibility/2006">
      <mc:Choice Requires="x14">
        <control shapeId="60419" r:id="rId12" name="btnCloseProject">
          <controlPr defaultSize="0" autoLine="0" autoPict="0" r:id="rId13">
            <anchor moveWithCells="1">
              <from>
                <xdr:col>1</xdr:col>
                <xdr:colOff>7620</xdr:colOff>
                <xdr:row>10</xdr:row>
                <xdr:rowOff>7620</xdr:rowOff>
              </from>
              <to>
                <xdr:col>3</xdr:col>
                <xdr:colOff>628650</xdr:colOff>
                <xdr:row>13</xdr:row>
                <xdr:rowOff>0</xdr:rowOff>
              </to>
            </anchor>
          </controlPr>
        </control>
      </mc:Choice>
      <mc:Fallback>
        <control shapeId="60419" r:id="rId12" name="btnCloseProject"/>
      </mc:Fallback>
    </mc:AlternateContent>
    <mc:AlternateContent xmlns:mc="http://schemas.openxmlformats.org/markup-compatibility/2006">
      <mc:Choice Requires="x14">
        <control shapeId="60418" r:id="rId14" name="btnNewProject">
          <controlPr defaultSize="0" autoLine="0" autoPict="0" r:id="rId15">
            <anchor moveWithCells="1">
              <from>
                <xdr:col>1</xdr:col>
                <xdr:colOff>7620</xdr:colOff>
                <xdr:row>5</xdr:row>
                <xdr:rowOff>179070</xdr:rowOff>
              </from>
              <to>
                <xdr:col>3</xdr:col>
                <xdr:colOff>628650</xdr:colOff>
                <xdr:row>8</xdr:row>
                <xdr:rowOff>171450</xdr:rowOff>
              </to>
            </anchor>
          </controlPr>
        </control>
      </mc:Choice>
      <mc:Fallback>
        <control shapeId="60418" r:id="rId14" name="btnNewProject"/>
      </mc:Fallback>
    </mc:AlternateContent>
    <mc:AlternateContent xmlns:mc="http://schemas.openxmlformats.org/markup-compatibility/2006">
      <mc:Choice Requires="x14">
        <control shapeId="60417" r:id="rId16" name="btnBacktoStart">
          <controlPr defaultSize="0" autoLine="0" autoPict="0" r:id="rId17">
            <anchor moveWithCells="1">
              <from>
                <xdr:col>5</xdr:col>
                <xdr:colOff>7620</xdr:colOff>
                <xdr:row>9</xdr:row>
                <xdr:rowOff>179070</xdr:rowOff>
              </from>
              <to>
                <xdr:col>7</xdr:col>
                <xdr:colOff>628650</xdr:colOff>
                <xdr:row>12</xdr:row>
                <xdr:rowOff>171450</xdr:rowOff>
              </to>
            </anchor>
          </controlPr>
        </control>
      </mc:Choice>
      <mc:Fallback>
        <control shapeId="60417" r:id="rId16" name="btnBackto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52AE3-BB90-43BE-B0AC-94399140AF18}">
  <sheetPr codeName="Sheet0"/>
  <dimension ref="A1:B2"/>
  <sheetViews>
    <sheetView workbookViewId="0">
      <selection activeCell="B3" sqref="B3"/>
    </sheetView>
  </sheetViews>
  <sheetFormatPr defaultRowHeight="14.4" x14ac:dyDescent="0.55000000000000004"/>
  <sheetData>
    <row r="1" spans="1:2" x14ac:dyDescent="0.55000000000000004">
      <c r="A1" t="s">
        <v>31</v>
      </c>
      <c r="B1" t="s">
        <v>32</v>
      </c>
    </row>
    <row r="2" spans="1:2" x14ac:dyDescent="0.55000000000000004">
      <c r="A2" t="s">
        <v>33</v>
      </c>
      <c r="B2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770F5-35DE-40E5-904D-CCA9FE0BB51D}">
  <sheetPr codeName="Sheet3"/>
  <dimension ref="A1:B5"/>
  <sheetViews>
    <sheetView workbookViewId="0">
      <selection activeCell="F8" sqref="F8"/>
    </sheetView>
  </sheetViews>
  <sheetFormatPr defaultRowHeight="14.4" x14ac:dyDescent="0.55000000000000004"/>
  <cols>
    <col min="1" max="1" width="16.26171875" bestFit="1" customWidth="1"/>
    <col min="2" max="2" width="16.5234375" bestFit="1" customWidth="1"/>
  </cols>
  <sheetData>
    <row r="1" spans="1:2" s="1" customFormat="1" x14ac:dyDescent="0.55000000000000004">
      <c r="A1" s="1" t="s">
        <v>5</v>
      </c>
      <c r="B1" s="1" t="s">
        <v>26</v>
      </c>
    </row>
    <row r="2" spans="1:2" x14ac:dyDescent="0.55000000000000004">
      <c r="A2" t="s">
        <v>6</v>
      </c>
    </row>
    <row r="3" spans="1:2" x14ac:dyDescent="0.55000000000000004">
      <c r="A3" t="s">
        <v>7</v>
      </c>
    </row>
    <row r="4" spans="1:2" x14ac:dyDescent="0.55000000000000004">
      <c r="A4" t="s">
        <v>8</v>
      </c>
    </row>
    <row r="5" spans="1:2" x14ac:dyDescent="0.55000000000000004">
      <c r="A5" t="s">
        <v>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8" r:id="rId3" name="btnBacktoCP">
          <controlPr defaultSize="0" autoLine="0" r:id="rId4">
            <anchor moveWithCells="1">
              <from>
                <xdr:col>6</xdr:col>
                <xdr:colOff>7620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45058" r:id="rId3" name="btnBacktoCP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C86A8-D17E-44B3-8219-DCDFBDEFF996}">
  <sheetPr codeName="Sheet4" filterMode="1"/>
  <dimension ref="A1:I8"/>
  <sheetViews>
    <sheetView workbookViewId="0">
      <selection activeCell="F14" sqref="F14"/>
    </sheetView>
  </sheetViews>
  <sheetFormatPr defaultRowHeight="14.4" x14ac:dyDescent="0.55000000000000004"/>
  <cols>
    <col min="1" max="1" width="8.62890625" bestFit="1" customWidth="1"/>
    <col min="2" max="2" width="16.26171875" bestFit="1" customWidth="1"/>
    <col min="3" max="3" width="10.62890625" bestFit="1" customWidth="1"/>
    <col min="4" max="4" width="4.1015625" bestFit="1" customWidth="1"/>
    <col min="5" max="5" width="9" bestFit="1" customWidth="1"/>
    <col min="6" max="6" width="15.15625" bestFit="1" customWidth="1"/>
    <col min="7" max="7" width="15.15625" style="7" bestFit="1" customWidth="1"/>
    <col min="8" max="8" width="3.89453125" bestFit="1" customWidth="1"/>
    <col min="9" max="9" width="11.3671875" style="8" bestFit="1" customWidth="1"/>
  </cols>
  <sheetData>
    <row r="1" spans="1:9" s="1" customFormat="1" x14ac:dyDescent="0.55000000000000004">
      <c r="A1" s="1" t="s">
        <v>2</v>
      </c>
      <c r="B1" s="1" t="s">
        <v>10</v>
      </c>
      <c r="C1" s="1" t="s">
        <v>66</v>
      </c>
      <c r="D1" s="1" t="s">
        <v>12</v>
      </c>
      <c r="E1" s="1" t="s">
        <v>3</v>
      </c>
      <c r="F1" s="1" t="s">
        <v>11</v>
      </c>
      <c r="G1" s="6" t="s">
        <v>13</v>
      </c>
      <c r="H1" s="1" t="s">
        <v>14</v>
      </c>
      <c r="I1" s="9" t="s">
        <v>15</v>
      </c>
    </row>
    <row r="2" spans="1:9" x14ac:dyDescent="0.55000000000000004">
      <c r="A2" t="s">
        <v>36</v>
      </c>
      <c r="B2" t="s">
        <v>6</v>
      </c>
      <c r="C2" t="s">
        <v>41</v>
      </c>
      <c r="D2">
        <v>4</v>
      </c>
      <c r="E2" t="s">
        <v>60</v>
      </c>
      <c r="F2" s="16">
        <v>43806.50476851852</v>
      </c>
      <c r="G2" s="17">
        <v>43806.50513888889</v>
      </c>
      <c r="H2">
        <v>8</v>
      </c>
      <c r="I2" s="8">
        <f t="shared" ref="I2:I8" si="0">$G2 - $F2</f>
        <v>3.7037036963738501E-4</v>
      </c>
    </row>
    <row r="3" spans="1:9" x14ac:dyDescent="0.55000000000000004">
      <c r="A3" t="s">
        <v>36</v>
      </c>
      <c r="B3" t="s">
        <v>9</v>
      </c>
      <c r="C3" t="s">
        <v>40</v>
      </c>
      <c r="D3">
        <v>2</v>
      </c>
      <c r="E3" t="s">
        <v>4</v>
      </c>
      <c r="F3" s="16">
        <v>43806.504907407405</v>
      </c>
      <c r="G3" s="17">
        <v>43806.505312499998</v>
      </c>
      <c r="H3">
        <v>2</v>
      </c>
      <c r="I3" s="8">
        <f t="shared" si="0"/>
        <v>4.0509259270038456E-4</v>
      </c>
    </row>
    <row r="4" spans="1:9" x14ac:dyDescent="0.55000000000000004">
      <c r="A4" t="s">
        <v>36</v>
      </c>
      <c r="B4" t="s">
        <v>7</v>
      </c>
      <c r="C4" t="s">
        <v>41</v>
      </c>
      <c r="D4">
        <v>4</v>
      </c>
      <c r="E4" t="s">
        <v>60</v>
      </c>
      <c r="F4" s="16">
        <v>43806.505046296297</v>
      </c>
      <c r="G4" s="17">
        <v>43806.505208333336</v>
      </c>
      <c r="H4">
        <v>5</v>
      </c>
      <c r="I4" s="8">
        <f t="shared" si="0"/>
        <v>1.6203703853534535E-4</v>
      </c>
    </row>
    <row r="5" spans="1:9" x14ac:dyDescent="0.55000000000000004">
      <c r="A5" t="s">
        <v>36</v>
      </c>
      <c r="B5" t="s">
        <v>7</v>
      </c>
      <c r="C5" t="s">
        <v>43</v>
      </c>
      <c r="D5">
        <v>10</v>
      </c>
      <c r="E5" t="s">
        <v>61</v>
      </c>
      <c r="F5" s="16">
        <v>43806.518935185188</v>
      </c>
      <c r="G5" s="17">
        <v>43806.520277777781</v>
      </c>
      <c r="H5">
        <v>1</v>
      </c>
      <c r="I5" s="8">
        <f t="shared" si="0"/>
        <v>1.3425925935734995E-3</v>
      </c>
    </row>
    <row r="6" spans="1:9" x14ac:dyDescent="0.55000000000000004">
      <c r="A6" t="s">
        <v>36</v>
      </c>
      <c r="B6" t="s">
        <v>7</v>
      </c>
      <c r="C6" t="s">
        <v>43</v>
      </c>
      <c r="D6">
        <v>10</v>
      </c>
      <c r="E6" t="s">
        <v>61</v>
      </c>
      <c r="F6" s="16">
        <v>43806.520624999997</v>
      </c>
      <c r="G6" s="17">
        <v>43806.52071759259</v>
      </c>
      <c r="H6">
        <v>1</v>
      </c>
      <c r="I6" s="8">
        <f t="shared" si="0"/>
        <v>9.2592592409346253E-5</v>
      </c>
    </row>
    <row r="7" spans="1:9" x14ac:dyDescent="0.55000000000000004">
      <c r="A7" t="s">
        <v>36</v>
      </c>
      <c r="B7" t="s">
        <v>7</v>
      </c>
      <c r="C7" t="s">
        <v>40</v>
      </c>
      <c r="D7">
        <v>1</v>
      </c>
      <c r="E7" t="s">
        <v>61</v>
      </c>
      <c r="F7" s="16">
        <v>43806.065370370372</v>
      </c>
      <c r="G7" s="17">
        <v>43806.559027777781</v>
      </c>
      <c r="H7">
        <v>2</v>
      </c>
      <c r="I7" s="8">
        <f t="shared" si="0"/>
        <v>0.49365740740904585</v>
      </c>
    </row>
    <row r="8" spans="1:9" x14ac:dyDescent="0.55000000000000004">
      <c r="A8" t="s">
        <v>36</v>
      </c>
      <c r="B8" t="s">
        <v>7</v>
      </c>
      <c r="C8" t="s">
        <v>40</v>
      </c>
      <c r="D8">
        <v>1</v>
      </c>
      <c r="E8" t="s">
        <v>61</v>
      </c>
      <c r="F8" s="16">
        <v>43806.066412037035</v>
      </c>
      <c r="G8" s="17">
        <v>43806.615277777775</v>
      </c>
      <c r="H8">
        <v>3</v>
      </c>
      <c r="I8" s="8">
        <f t="shared" si="0"/>
        <v>0.54886574074043892</v>
      </c>
    </row>
  </sheetData>
  <autoFilter ref="A1:C6" xr:uid="{6800D361-BFA1-4EB7-9C24-F99FD117A396}">
    <filterColumn colId="0">
      <filters>
        <filter val="Project A"/>
      </filters>
    </filterColumn>
  </autoFilter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4753" r:id="rId4" name="btnViewProj">
          <controlPr defaultSize="0" autoLine="0" r:id="rId5">
            <anchor moveWithCells="1">
              <from>
                <xdr:col>10</xdr:col>
                <xdr:colOff>7620</xdr:colOff>
                <xdr:row>6</xdr:row>
                <xdr:rowOff>3810</xdr:rowOff>
              </from>
              <to>
                <xdr:col>13</xdr:col>
                <xdr:colOff>7620</xdr:colOff>
                <xdr:row>8</xdr:row>
                <xdr:rowOff>179070</xdr:rowOff>
              </to>
            </anchor>
          </controlPr>
        </control>
      </mc:Choice>
      <mc:Fallback>
        <control shapeId="74753" r:id="rId4" name="btnViewProj"/>
      </mc:Fallback>
    </mc:AlternateContent>
    <mc:AlternateContent xmlns:mc="http://schemas.openxmlformats.org/markup-compatibility/2006">
      <mc:Choice Requires="x14">
        <control shapeId="74754" r:id="rId6" name="btnViewQC">
          <controlPr defaultSize="0" autoLine="0" r:id="rId7">
            <anchor moveWithCells="1">
              <from>
                <xdr:col>10</xdr:col>
                <xdr:colOff>7620</xdr:colOff>
                <xdr:row>10</xdr:row>
                <xdr:rowOff>3810</xdr:rowOff>
              </from>
              <to>
                <xdr:col>13</xdr:col>
                <xdr:colOff>7620</xdr:colOff>
                <xdr:row>12</xdr:row>
                <xdr:rowOff>179070</xdr:rowOff>
              </to>
            </anchor>
          </controlPr>
        </control>
      </mc:Choice>
      <mc:Fallback>
        <control shapeId="74754" r:id="rId6" name="btnViewQC"/>
      </mc:Fallback>
    </mc:AlternateContent>
    <mc:AlternateContent xmlns:mc="http://schemas.openxmlformats.org/markup-compatibility/2006">
      <mc:Choice Requires="x14">
        <control shapeId="74755" r:id="rId8" name="btnDone">
          <controlPr defaultSize="0" autoLine="0" r:id="rId9">
            <anchor moveWithCells="1">
              <from>
                <xdr:col>10</xdr:col>
                <xdr:colOff>7620</xdr:colOff>
                <xdr:row>2</xdr:row>
                <xdr:rowOff>0</xdr:rowOff>
              </from>
              <to>
                <xdr:col>13</xdr:col>
                <xdr:colOff>7620</xdr:colOff>
                <xdr:row>4</xdr:row>
                <xdr:rowOff>175260</xdr:rowOff>
              </to>
            </anchor>
          </controlPr>
        </control>
      </mc:Choice>
      <mc:Fallback>
        <control shapeId="74755" r:id="rId8" name="btnDon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4C487-2232-41A2-8F86-28828B2F0491}">
  <sheetPr codeName="Sheet5" filterMode="1"/>
  <dimension ref="A1:J2"/>
  <sheetViews>
    <sheetView workbookViewId="0">
      <selection activeCell="I8" sqref="I8"/>
    </sheetView>
  </sheetViews>
  <sheetFormatPr defaultRowHeight="14.4" x14ac:dyDescent="0.55000000000000004"/>
  <cols>
    <col min="1" max="1" width="8.62890625" bestFit="1" customWidth="1"/>
    <col min="2" max="2" width="11.1015625" bestFit="1" customWidth="1"/>
    <col min="3" max="3" width="8.1015625" bestFit="1" customWidth="1"/>
    <col min="4" max="4" width="6.15625" bestFit="1" customWidth="1"/>
    <col min="5" max="5" width="16.47265625" bestFit="1" customWidth="1"/>
    <col min="6" max="6" width="17.89453125" bestFit="1" customWidth="1"/>
    <col min="7" max="7" width="7.734375" bestFit="1" customWidth="1"/>
    <col min="8" max="8" width="18.1015625" bestFit="1" customWidth="1"/>
    <col min="9" max="9" width="9.15625" style="3" bestFit="1" customWidth="1"/>
    <col min="10" max="10" width="14.41796875" bestFit="1" customWidth="1"/>
  </cols>
  <sheetData>
    <row r="1" spans="1:10" s="1" customFormat="1" x14ac:dyDescent="0.55000000000000004">
      <c r="A1" s="1" t="s">
        <v>2</v>
      </c>
      <c r="B1" s="1" t="s">
        <v>35</v>
      </c>
      <c r="C1" s="1" t="s">
        <v>49</v>
      </c>
      <c r="D1" s="1" t="s">
        <v>14</v>
      </c>
      <c r="E1" s="1" t="s">
        <v>50</v>
      </c>
      <c r="F1" s="1" t="s">
        <v>44</v>
      </c>
      <c r="G1" s="1" t="s">
        <v>45</v>
      </c>
      <c r="H1" s="1" t="s">
        <v>46</v>
      </c>
      <c r="I1" s="10" t="s">
        <v>47</v>
      </c>
      <c r="J1" s="1" t="s">
        <v>48</v>
      </c>
    </row>
    <row r="2" spans="1:10" x14ac:dyDescent="0.55000000000000004">
      <c r="A2" t="s">
        <v>36</v>
      </c>
      <c r="B2" t="s">
        <v>40</v>
      </c>
      <c r="C2">
        <v>1</v>
      </c>
      <c r="D2">
        <v>2</v>
      </c>
      <c r="E2">
        <v>4</v>
      </c>
      <c r="F2" t="s">
        <v>62</v>
      </c>
      <c r="G2" t="s">
        <v>63</v>
      </c>
      <c r="H2" t="s">
        <v>64</v>
      </c>
      <c r="I2" s="3">
        <v>43806</v>
      </c>
      <c r="J2" t="s">
        <v>54</v>
      </c>
    </row>
  </sheetData>
  <autoFilter ref="A1:J2" xr:uid="{7FA31F58-43E4-471A-A5BC-41AF9A41C6E5}">
    <filterColumn colId="0">
      <filters>
        <filter val="Project A"/>
      </filters>
    </filterColumn>
  </autoFilter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6801" r:id="rId4" name="btnViewProj">
          <controlPr defaultSize="0" autoLine="0" r:id="rId5">
            <anchor moveWithCells="1">
              <from>
                <xdr:col>12</xdr:col>
                <xdr:colOff>7620</xdr:colOff>
                <xdr:row>6</xdr:row>
                <xdr:rowOff>7620</xdr:rowOff>
              </from>
              <to>
                <xdr:col>15</xdr:col>
                <xdr:colOff>7620</xdr:colOff>
                <xdr:row>9</xdr:row>
                <xdr:rowOff>0</xdr:rowOff>
              </to>
            </anchor>
          </controlPr>
        </control>
      </mc:Choice>
      <mc:Fallback>
        <control shapeId="76801" r:id="rId4" name="btnViewProj"/>
      </mc:Fallback>
    </mc:AlternateContent>
    <mc:AlternateContent xmlns:mc="http://schemas.openxmlformats.org/markup-compatibility/2006">
      <mc:Choice Requires="x14">
        <control shapeId="76802" r:id="rId6" name="btnViewWork">
          <controlPr defaultSize="0" autoLine="0" r:id="rId7">
            <anchor moveWithCells="1">
              <from>
                <xdr:col>12</xdr:col>
                <xdr:colOff>7620</xdr:colOff>
                <xdr:row>10</xdr:row>
                <xdr:rowOff>7620</xdr:rowOff>
              </from>
              <to>
                <xdr:col>15</xdr:col>
                <xdr:colOff>7620</xdr:colOff>
                <xdr:row>13</xdr:row>
                <xdr:rowOff>0</xdr:rowOff>
              </to>
            </anchor>
          </controlPr>
        </control>
      </mc:Choice>
      <mc:Fallback>
        <control shapeId="76802" r:id="rId6" name="btnViewWork"/>
      </mc:Fallback>
    </mc:AlternateContent>
    <mc:AlternateContent xmlns:mc="http://schemas.openxmlformats.org/markup-compatibility/2006">
      <mc:Choice Requires="x14">
        <control shapeId="76803" r:id="rId8" name="btnDone">
          <controlPr defaultSize="0" autoLine="0" r:id="rId9">
            <anchor moveWithCells="1">
              <from>
                <xdr:col>12</xdr:col>
                <xdr:colOff>7620</xdr:colOff>
                <xdr:row>2</xdr:row>
                <xdr:rowOff>0</xdr:rowOff>
              </from>
              <to>
                <xdr:col>15</xdr:col>
                <xdr:colOff>7620</xdr:colOff>
                <xdr:row>4</xdr:row>
                <xdr:rowOff>175260</xdr:rowOff>
              </to>
            </anchor>
          </controlPr>
        </control>
      </mc:Choice>
      <mc:Fallback>
        <control shapeId="76803" r:id="rId8" name="btnDo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8437-43B2-4149-8022-A8AF91A4755C}">
  <sheetPr codeName="Shee6"/>
  <dimension ref="A1:F3"/>
  <sheetViews>
    <sheetView workbookViewId="0">
      <selection activeCell="A2" sqref="A2"/>
    </sheetView>
  </sheetViews>
  <sheetFormatPr defaultRowHeight="14.4" x14ac:dyDescent="0.55000000000000004"/>
  <cols>
    <col min="1" max="1" width="8.62890625" style="14" bestFit="1" customWidth="1"/>
    <col min="2" max="2" width="10.47265625" style="14" bestFit="1" customWidth="1"/>
    <col min="3" max="3" width="13.5234375" style="14" bestFit="1" customWidth="1"/>
    <col min="4" max="4" width="13.26171875" style="12" bestFit="1" customWidth="1"/>
    <col min="5" max="5" width="10.15625" style="3" bestFit="1" customWidth="1"/>
    <col min="6" max="6" width="13.5234375" bestFit="1" customWidth="1"/>
  </cols>
  <sheetData>
    <row r="1" spans="1:6" s="1" customFormat="1" x14ac:dyDescent="0.55000000000000004">
      <c r="A1" s="13" t="s">
        <v>5</v>
      </c>
      <c r="B1" s="13" t="s">
        <v>27</v>
      </c>
      <c r="C1" s="13" t="s">
        <v>28</v>
      </c>
      <c r="D1" s="11" t="s">
        <v>29</v>
      </c>
      <c r="E1" s="10" t="s">
        <v>30</v>
      </c>
      <c r="F1" s="1" t="s">
        <v>53</v>
      </c>
    </row>
    <row r="2" spans="1:6" x14ac:dyDescent="0.55000000000000004">
      <c r="A2" s="14" t="s">
        <v>36</v>
      </c>
      <c r="B2" s="14">
        <v>12345</v>
      </c>
      <c r="C2" s="14" t="s">
        <v>59</v>
      </c>
      <c r="D2" s="12">
        <v>1000000</v>
      </c>
      <c r="E2" s="3">
        <v>43808</v>
      </c>
      <c r="F2">
        <v>1.0448958333363407</v>
      </c>
    </row>
    <row r="3" spans="1:6" x14ac:dyDescent="0.55000000000000004">
      <c r="A3" s="14" t="s">
        <v>65</v>
      </c>
      <c r="F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01DEB-B825-4D96-9C99-F30C16AFAE01}">
  <sheetPr codeName="Sheet8"/>
  <dimension ref="A1:L12"/>
  <sheetViews>
    <sheetView workbookViewId="0">
      <selection activeCell="L3" sqref="L3"/>
    </sheetView>
  </sheetViews>
  <sheetFormatPr defaultRowHeight="14.4" x14ac:dyDescent="0.55000000000000004"/>
  <cols>
    <col min="1" max="1" width="14.9453125" style="1" bestFit="1" customWidth="1"/>
    <col min="2" max="2" width="13.5234375" bestFit="1" customWidth="1"/>
    <col min="3" max="3" width="8.83984375" style="4"/>
    <col min="4" max="4" width="9.5234375" bestFit="1" customWidth="1"/>
    <col min="5" max="5" width="5.7890625" bestFit="1" customWidth="1"/>
    <col min="6" max="6" width="3.89453125" bestFit="1" customWidth="1"/>
    <col min="7" max="7" width="10" bestFit="1" customWidth="1"/>
    <col min="8" max="8" width="5.62890625" bestFit="1" customWidth="1"/>
    <col min="9" max="9" width="8.5234375" bestFit="1" customWidth="1"/>
    <col min="10" max="10" width="8.26171875" bestFit="1" customWidth="1"/>
    <col min="11" max="11" width="6.5234375" bestFit="1" customWidth="1"/>
    <col min="12" max="12" width="10.62890625" style="19" bestFit="1" customWidth="1"/>
  </cols>
  <sheetData>
    <row r="1" spans="1:12" x14ac:dyDescent="0.55000000000000004">
      <c r="A1" s="22" t="s">
        <v>24</v>
      </c>
      <c r="B1" s="23"/>
      <c r="D1" s="24" t="s">
        <v>25</v>
      </c>
      <c r="E1" s="25"/>
      <c r="F1" s="25"/>
      <c r="G1" s="25"/>
      <c r="H1" s="25"/>
      <c r="I1" s="25"/>
      <c r="J1" s="25"/>
      <c r="K1" s="25"/>
      <c r="L1" s="26"/>
    </row>
    <row r="2" spans="1:12" s="1" customFormat="1" x14ac:dyDescent="0.55000000000000004">
      <c r="A2" s="1" t="s">
        <v>16</v>
      </c>
      <c r="B2" t="s">
        <v>36</v>
      </c>
      <c r="C2" s="5"/>
      <c r="D2" s="1" t="s">
        <v>35</v>
      </c>
      <c r="E2" s="1" t="s">
        <v>49</v>
      </c>
      <c r="F2" s="1" t="s">
        <v>14</v>
      </c>
      <c r="G2" s="1" t="s">
        <v>21</v>
      </c>
      <c r="H2" s="1" t="s">
        <v>22</v>
      </c>
      <c r="I2" s="1" t="s">
        <v>55</v>
      </c>
      <c r="J2" s="1" t="s">
        <v>56</v>
      </c>
      <c r="K2" s="1" t="s">
        <v>23</v>
      </c>
      <c r="L2" s="18" t="s">
        <v>52</v>
      </c>
    </row>
    <row r="3" spans="1:12" x14ac:dyDescent="0.55000000000000004">
      <c r="A3" s="1" t="s">
        <v>17</v>
      </c>
      <c r="B3">
        <v>12345</v>
      </c>
      <c r="D3" t="s">
        <v>40</v>
      </c>
      <c r="E3">
        <v>1</v>
      </c>
      <c r="F3">
        <v>4</v>
      </c>
      <c r="L3" s="19">
        <f>SUMIFS('QC Data'!D:D,'QC Data'!B:B,D3,'QC Data'!C:C,E3,'QC Data'!H:H,"Use As Is")</f>
        <v>0</v>
      </c>
    </row>
    <row r="4" spans="1:12" x14ac:dyDescent="0.55000000000000004">
      <c r="A4" s="1" t="s">
        <v>18</v>
      </c>
      <c r="B4" t="s">
        <v>59</v>
      </c>
      <c r="D4" t="s">
        <v>40</v>
      </c>
      <c r="E4">
        <v>2</v>
      </c>
      <c r="F4">
        <v>3</v>
      </c>
      <c r="L4" s="19">
        <f>SUMIFS('QC Data'!D:D,'QC Data'!B:B,D4,'QC Data'!C:C,E4,'QC Data'!H:H,"Use As Is")</f>
        <v>0</v>
      </c>
    </row>
    <row r="5" spans="1:12" x14ac:dyDescent="0.55000000000000004">
      <c r="A5" s="1" t="s">
        <v>19</v>
      </c>
      <c r="B5" s="2">
        <v>1000000</v>
      </c>
      <c r="D5" t="s">
        <v>40</v>
      </c>
      <c r="E5">
        <v>3</v>
      </c>
      <c r="F5">
        <v>1</v>
      </c>
      <c r="L5" s="19">
        <f>SUMIFS('QC Data'!D:D,'QC Data'!B:B,D5,'QC Data'!C:C,E5,'QC Data'!H:H,"Use As Is")</f>
        <v>0</v>
      </c>
    </row>
    <row r="6" spans="1:12" x14ac:dyDescent="0.55000000000000004">
      <c r="A6" s="1" t="s">
        <v>20</v>
      </c>
      <c r="B6" s="3">
        <v>43808</v>
      </c>
      <c r="D6" t="s">
        <v>41</v>
      </c>
      <c r="E6">
        <v>4</v>
      </c>
      <c r="F6">
        <v>16</v>
      </c>
      <c r="L6" s="19">
        <f>SUMIFS('QC Data'!D:D,'QC Data'!B:B,D6,'QC Data'!C:C,E6,'QC Data'!H:H,"Use As Is")</f>
        <v>0</v>
      </c>
    </row>
    <row r="7" spans="1:12" x14ac:dyDescent="0.55000000000000004">
      <c r="A7" s="1" t="s">
        <v>51</v>
      </c>
      <c r="B7" s="8">
        <f>SUMIFS('Work Data'!I:I,'Work Data'!A:A,"Project A")</f>
        <v>1.0448958333363407</v>
      </c>
      <c r="D7" t="s">
        <v>41</v>
      </c>
      <c r="E7">
        <v>5</v>
      </c>
      <c r="F7">
        <v>8</v>
      </c>
      <c r="L7" s="19">
        <f>SUMIFS('QC Data'!D:D,'QC Data'!B:B,D7,'QC Data'!C:C,E7,'QC Data'!H:H,"Use As Is")</f>
        <v>0</v>
      </c>
    </row>
    <row r="8" spans="1:12" x14ac:dyDescent="0.55000000000000004">
      <c r="A8" s="1" t="s">
        <v>57</v>
      </c>
      <c r="B8" s="8">
        <v>10.416666666666666</v>
      </c>
      <c r="D8" t="s">
        <v>42</v>
      </c>
      <c r="E8">
        <v>6</v>
      </c>
      <c r="F8">
        <v>45</v>
      </c>
      <c r="L8" s="19">
        <f>SUMIFS('QC Data'!D:D,'QC Data'!B:B,D8,'QC Data'!C:C,E8,'QC Data'!H:H,"Use As Is")</f>
        <v>0</v>
      </c>
    </row>
    <row r="9" spans="1:12" x14ac:dyDescent="0.55000000000000004">
      <c r="A9" s="1" t="s">
        <v>58</v>
      </c>
      <c r="B9" s="8">
        <f>B8-B7</f>
        <v>9.3717708333303253</v>
      </c>
      <c r="D9" t="s">
        <v>42</v>
      </c>
      <c r="E9">
        <v>7</v>
      </c>
      <c r="F9">
        <v>20</v>
      </c>
      <c r="L9" s="19">
        <f>SUMIFS('QC Data'!D:D,'QC Data'!B:B,D9,'QC Data'!C:C,E9,'QC Data'!H:H,"Use As Is")</f>
        <v>0</v>
      </c>
    </row>
    <row r="10" spans="1:12" x14ac:dyDescent="0.55000000000000004">
      <c r="D10" t="s">
        <v>42</v>
      </c>
      <c r="E10">
        <v>8</v>
      </c>
      <c r="F10">
        <v>11</v>
      </c>
      <c r="L10" s="19">
        <f>SUMIFS('QC Data'!D:D,'QC Data'!B:B,D10,'QC Data'!C:C,E10,'QC Data'!H:H,"Use As Is")</f>
        <v>0</v>
      </c>
    </row>
    <row r="11" spans="1:12" x14ac:dyDescent="0.55000000000000004">
      <c r="D11" t="s">
        <v>42</v>
      </c>
      <c r="E11">
        <v>9</v>
      </c>
      <c r="F11">
        <v>13</v>
      </c>
      <c r="L11" s="19">
        <f>SUMIFS('QC Data'!D:D,'QC Data'!B:B,D11,'QC Data'!C:C,E11,'QC Data'!H:H,"Use As Is")</f>
        <v>0</v>
      </c>
    </row>
    <row r="12" spans="1:12" x14ac:dyDescent="0.55000000000000004">
      <c r="D12" t="s">
        <v>43</v>
      </c>
      <c r="E12">
        <v>10</v>
      </c>
      <c r="F12">
        <v>1</v>
      </c>
      <c r="L12" s="19">
        <f>SUMIFS('QC Data'!D:D,'QC Data'!B:B,D12,'QC Data'!C:C,E12,'QC Data'!H:H,"Use As Is")</f>
        <v>0</v>
      </c>
    </row>
  </sheetData>
  <mergeCells count="2">
    <mergeCell ref="A1:B1"/>
    <mergeCell ref="D1:L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btnDone">
          <controlPr defaultSize="0" autoLine="0" r:id="rId4">
            <anchor moveWithCells="1">
              <from>
                <xdr:col>0</xdr:col>
                <xdr:colOff>11430</xdr:colOff>
                <xdr:row>13</xdr:row>
                <xdr:rowOff>0</xdr:rowOff>
              </from>
              <to>
                <xdr:col>2</xdr:col>
                <xdr:colOff>0</xdr:colOff>
                <xdr:row>16</xdr:row>
                <xdr:rowOff>7620</xdr:rowOff>
              </to>
            </anchor>
          </controlPr>
        </control>
      </mc:Choice>
      <mc:Fallback>
        <control shapeId="87041" r:id="rId3" name="btnDone"/>
      </mc:Fallback>
    </mc:AlternateContent>
    <mc:AlternateContent xmlns:mc="http://schemas.openxmlformats.org/markup-compatibility/2006">
      <mc:Choice Requires="x14">
        <control shapeId="87042" r:id="rId5" name="btnViewWork">
          <controlPr defaultSize="0" autoLine="0" r:id="rId6">
            <anchor moveWithCells="1">
              <from>
                <xdr:col>0</xdr:col>
                <xdr:colOff>11430</xdr:colOff>
                <xdr:row>17</xdr:row>
                <xdr:rowOff>0</xdr:rowOff>
              </from>
              <to>
                <xdr:col>2</xdr:col>
                <xdr:colOff>0</xdr:colOff>
                <xdr:row>20</xdr:row>
                <xdr:rowOff>7620</xdr:rowOff>
              </to>
            </anchor>
          </controlPr>
        </control>
      </mc:Choice>
      <mc:Fallback>
        <control shapeId="87042" r:id="rId5" name="btnViewWork"/>
      </mc:Fallback>
    </mc:AlternateContent>
    <mc:AlternateContent xmlns:mc="http://schemas.openxmlformats.org/markup-compatibility/2006">
      <mc:Choice Requires="x14">
        <control shapeId="87043" r:id="rId7" name="btnViewQC">
          <controlPr defaultSize="0" autoLine="0" r:id="rId8">
            <anchor moveWithCells="1">
              <from>
                <xdr:col>0</xdr:col>
                <xdr:colOff>11430</xdr:colOff>
                <xdr:row>21</xdr:row>
                <xdr:rowOff>0</xdr:rowOff>
              </from>
              <to>
                <xdr:col>2</xdr:col>
                <xdr:colOff>0</xdr:colOff>
                <xdr:row>24</xdr:row>
                <xdr:rowOff>7620</xdr:rowOff>
              </to>
            </anchor>
          </controlPr>
        </control>
      </mc:Choice>
      <mc:Fallback>
        <control shapeId="87043" r:id="rId7" name="btnViewQC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B322-6A53-42B3-B0CC-52B01A40CE46}">
  <sheetPr codeName="Sheet9"/>
  <dimension ref="A1:L9"/>
  <sheetViews>
    <sheetView workbookViewId="0">
      <selection activeCell="B2" sqref="B2"/>
    </sheetView>
  </sheetViews>
  <sheetFormatPr defaultRowHeight="14.4" x14ac:dyDescent="0.55000000000000004"/>
  <cols>
    <col min="1" max="1" width="14.9453125" style="1" bestFit="1" customWidth="1"/>
    <col min="2" max="2" width="13.5234375" bestFit="1" customWidth="1"/>
    <col min="3" max="3" width="8.83984375" style="4"/>
    <col min="4" max="4" width="9.5234375" bestFit="1" customWidth="1"/>
    <col min="5" max="5" width="5.7890625" bestFit="1" customWidth="1"/>
    <col min="6" max="6" width="3.89453125" bestFit="1" customWidth="1"/>
    <col min="7" max="7" width="10" bestFit="1" customWidth="1"/>
    <col min="8" max="8" width="5.62890625" bestFit="1" customWidth="1"/>
    <col min="9" max="9" width="8.5234375" bestFit="1" customWidth="1"/>
    <col min="10" max="10" width="8.26171875" bestFit="1" customWidth="1"/>
    <col min="11" max="11" width="6.5234375" bestFit="1" customWidth="1"/>
    <col min="12" max="12" width="10.62890625" style="19" bestFit="1" customWidth="1"/>
  </cols>
  <sheetData>
    <row r="1" spans="1:12" x14ac:dyDescent="0.55000000000000004">
      <c r="A1" s="22" t="s">
        <v>24</v>
      </c>
      <c r="B1" s="23"/>
      <c r="D1" s="24" t="s">
        <v>25</v>
      </c>
      <c r="E1" s="25"/>
      <c r="F1" s="25"/>
      <c r="G1" s="25"/>
      <c r="H1" s="25"/>
      <c r="I1" s="25"/>
      <c r="J1" s="25"/>
      <c r="K1" s="25"/>
      <c r="L1" s="26"/>
    </row>
    <row r="2" spans="1:12" s="1" customFormat="1" x14ac:dyDescent="0.55000000000000004">
      <c r="A2" s="1" t="s">
        <v>16</v>
      </c>
      <c r="B2" t="s">
        <v>65</v>
      </c>
      <c r="C2" s="5"/>
      <c r="D2" s="1" t="s">
        <v>35</v>
      </c>
      <c r="E2" s="1" t="s">
        <v>49</v>
      </c>
      <c r="F2" s="1" t="s">
        <v>14</v>
      </c>
      <c r="G2" s="1" t="s">
        <v>21</v>
      </c>
      <c r="H2" s="1" t="s">
        <v>22</v>
      </c>
      <c r="I2" s="1" t="s">
        <v>55</v>
      </c>
      <c r="J2" s="1" t="s">
        <v>56</v>
      </c>
      <c r="K2" s="1" t="s">
        <v>23</v>
      </c>
      <c r="L2" s="18" t="s">
        <v>52</v>
      </c>
    </row>
    <row r="3" spans="1:12" x14ac:dyDescent="0.55000000000000004">
      <c r="A3" s="1" t="s">
        <v>17</v>
      </c>
    </row>
    <row r="4" spans="1:12" x14ac:dyDescent="0.55000000000000004">
      <c r="A4" s="1" t="s">
        <v>18</v>
      </c>
    </row>
    <row r="5" spans="1:12" x14ac:dyDescent="0.55000000000000004">
      <c r="A5" s="1" t="s">
        <v>19</v>
      </c>
      <c r="B5" s="2"/>
    </row>
    <row r="6" spans="1:12" x14ac:dyDescent="0.55000000000000004">
      <c r="A6" s="1" t="s">
        <v>20</v>
      </c>
      <c r="B6" s="3"/>
    </row>
    <row r="7" spans="1:12" x14ac:dyDescent="0.55000000000000004">
      <c r="A7" s="1" t="s">
        <v>51</v>
      </c>
      <c r="B7" s="8">
        <f>SUMIFS('Work Data'!I:I,'Work Data'!A:A,"test")</f>
        <v>0</v>
      </c>
    </row>
    <row r="8" spans="1:12" x14ac:dyDescent="0.55000000000000004">
      <c r="A8" s="1" t="s">
        <v>57</v>
      </c>
      <c r="B8" s="8"/>
    </row>
    <row r="9" spans="1:12" x14ac:dyDescent="0.55000000000000004">
      <c r="A9" s="1" t="s">
        <v>58</v>
      </c>
      <c r="B9" s="8">
        <f>B8-B7</f>
        <v>0</v>
      </c>
    </row>
  </sheetData>
  <mergeCells count="2">
    <mergeCell ref="A1:B1"/>
    <mergeCell ref="D1:L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8065" r:id="rId3" name="btnDone">
          <controlPr defaultSize="0" autoLine="0" r:id="rId4">
            <anchor moveWithCells="1">
              <from>
                <xdr:col>0</xdr:col>
                <xdr:colOff>11430</xdr:colOff>
                <xdr:row>13</xdr:row>
                <xdr:rowOff>0</xdr:rowOff>
              </from>
              <to>
                <xdr:col>2</xdr:col>
                <xdr:colOff>0</xdr:colOff>
                <xdr:row>16</xdr:row>
                <xdr:rowOff>7620</xdr:rowOff>
              </to>
            </anchor>
          </controlPr>
        </control>
      </mc:Choice>
      <mc:Fallback>
        <control shapeId="88065" r:id="rId3" name="btnDone"/>
      </mc:Fallback>
    </mc:AlternateContent>
    <mc:AlternateContent xmlns:mc="http://schemas.openxmlformats.org/markup-compatibility/2006">
      <mc:Choice Requires="x14">
        <control shapeId="88066" r:id="rId5" name="btnViewWork">
          <controlPr defaultSize="0" autoLine="0" r:id="rId6">
            <anchor moveWithCells="1">
              <from>
                <xdr:col>0</xdr:col>
                <xdr:colOff>11430</xdr:colOff>
                <xdr:row>17</xdr:row>
                <xdr:rowOff>0</xdr:rowOff>
              </from>
              <to>
                <xdr:col>2</xdr:col>
                <xdr:colOff>0</xdr:colOff>
                <xdr:row>20</xdr:row>
                <xdr:rowOff>7620</xdr:rowOff>
              </to>
            </anchor>
          </controlPr>
        </control>
      </mc:Choice>
      <mc:Fallback>
        <control shapeId="88066" r:id="rId5" name="btnViewWork"/>
      </mc:Fallback>
    </mc:AlternateContent>
    <mc:AlternateContent xmlns:mc="http://schemas.openxmlformats.org/markup-compatibility/2006">
      <mc:Choice Requires="x14">
        <control shapeId="88067" r:id="rId7" name="btnViewQC">
          <controlPr defaultSize="0" autoLine="0" r:id="rId8">
            <anchor moveWithCells="1">
              <from>
                <xdr:col>0</xdr:col>
                <xdr:colOff>11430</xdr:colOff>
                <xdr:row>21</xdr:row>
                <xdr:rowOff>0</xdr:rowOff>
              </from>
              <to>
                <xdr:col>2</xdr:col>
                <xdr:colOff>0</xdr:colOff>
                <xdr:row>24</xdr:row>
                <xdr:rowOff>7620</xdr:rowOff>
              </to>
            </anchor>
          </controlPr>
        </control>
      </mc:Choice>
      <mc:Fallback>
        <control shapeId="88067" r:id="rId7" name="btnViewQC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681E7-18C5-4C68-9210-4CC3E8478A56}">
  <sheetPr codeName="Sheet7"/>
  <dimension ref="A1:L9"/>
  <sheetViews>
    <sheetView workbookViewId="0">
      <selection activeCell="B2" sqref="B2"/>
    </sheetView>
  </sheetViews>
  <sheetFormatPr defaultRowHeight="14.4" x14ac:dyDescent="0.55000000000000004"/>
  <cols>
    <col min="1" max="1" width="14.9453125" style="1" bestFit="1" customWidth="1"/>
    <col min="2" max="2" width="13.5234375" bestFit="1" customWidth="1"/>
    <col min="3" max="3" width="8.7890625" style="4"/>
    <col min="4" max="4" width="9.5234375" bestFit="1" customWidth="1"/>
    <col min="5" max="5" width="5.7890625" bestFit="1" customWidth="1"/>
    <col min="6" max="6" width="3.89453125" bestFit="1" customWidth="1"/>
    <col min="7" max="7" width="10" bestFit="1" customWidth="1"/>
    <col min="8" max="8" width="5.62890625" bestFit="1" customWidth="1"/>
    <col min="9" max="9" width="8.5234375" bestFit="1" customWidth="1"/>
    <col min="10" max="10" width="8.26171875" bestFit="1" customWidth="1"/>
    <col min="11" max="11" width="6.5234375" bestFit="1" customWidth="1"/>
    <col min="12" max="12" width="10.62890625" style="19" bestFit="1" customWidth="1"/>
  </cols>
  <sheetData>
    <row r="1" spans="1:12" x14ac:dyDescent="0.55000000000000004">
      <c r="A1" s="22" t="s">
        <v>24</v>
      </c>
      <c r="B1" s="23"/>
      <c r="D1" s="24" t="s">
        <v>25</v>
      </c>
      <c r="E1" s="25"/>
      <c r="F1" s="25"/>
      <c r="G1" s="25"/>
      <c r="H1" s="25"/>
      <c r="I1" s="25"/>
      <c r="J1" s="25"/>
      <c r="K1" s="25"/>
      <c r="L1" s="26"/>
    </row>
    <row r="2" spans="1:12" s="1" customFormat="1" x14ac:dyDescent="0.55000000000000004">
      <c r="A2" s="1" t="s">
        <v>16</v>
      </c>
      <c r="B2"/>
      <c r="C2" s="5"/>
      <c r="D2" s="1" t="s">
        <v>35</v>
      </c>
      <c r="E2" s="1" t="s">
        <v>49</v>
      </c>
      <c r="F2" s="1" t="s">
        <v>14</v>
      </c>
      <c r="G2" s="1" t="s">
        <v>21</v>
      </c>
      <c r="H2" s="1" t="s">
        <v>22</v>
      </c>
      <c r="I2" s="1" t="s">
        <v>55</v>
      </c>
      <c r="J2" s="1" t="s">
        <v>56</v>
      </c>
      <c r="K2" s="1" t="s">
        <v>23</v>
      </c>
      <c r="L2" s="18" t="s">
        <v>52</v>
      </c>
    </row>
    <row r="3" spans="1:12" x14ac:dyDescent="0.55000000000000004">
      <c r="A3" s="1" t="s">
        <v>17</v>
      </c>
    </row>
    <row r="4" spans="1:12" x14ac:dyDescent="0.55000000000000004">
      <c r="A4" s="1" t="s">
        <v>18</v>
      </c>
    </row>
    <row r="5" spans="1:12" x14ac:dyDescent="0.55000000000000004">
      <c r="A5" s="1" t="s">
        <v>19</v>
      </c>
      <c r="B5" s="2"/>
    </row>
    <row r="6" spans="1:12" x14ac:dyDescent="0.55000000000000004">
      <c r="A6" s="1" t="s">
        <v>20</v>
      </c>
      <c r="B6" s="3"/>
    </row>
    <row r="7" spans="1:12" x14ac:dyDescent="0.55000000000000004">
      <c r="A7" s="1" t="s">
        <v>51</v>
      </c>
      <c r="B7" s="8"/>
    </row>
    <row r="8" spans="1:12" x14ac:dyDescent="0.55000000000000004">
      <c r="A8" s="1" t="s">
        <v>57</v>
      </c>
      <c r="B8" s="8"/>
    </row>
    <row r="9" spans="1:12" x14ac:dyDescent="0.55000000000000004">
      <c r="A9" s="1" t="s">
        <v>58</v>
      </c>
      <c r="B9" s="8">
        <f>B8-B7</f>
        <v>0</v>
      </c>
    </row>
  </sheetData>
  <mergeCells count="2">
    <mergeCell ref="A1:B1"/>
    <mergeCell ref="D1:L1"/>
  </mergeCells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6561" r:id="rId3" name="btnDone">
          <controlPr defaultSize="0" autoLine="0" autoPict="0" r:id="rId4">
            <anchor moveWithCells="1">
              <from>
                <xdr:col>0</xdr:col>
                <xdr:colOff>11430</xdr:colOff>
                <xdr:row>13</xdr:row>
                <xdr:rowOff>0</xdr:rowOff>
              </from>
              <to>
                <xdr:col>2</xdr:col>
                <xdr:colOff>0</xdr:colOff>
                <xdr:row>16</xdr:row>
                <xdr:rowOff>7620</xdr:rowOff>
              </to>
            </anchor>
          </controlPr>
        </control>
      </mc:Choice>
      <mc:Fallback>
        <control shapeId="66561" r:id="rId3" name="btnDone"/>
      </mc:Fallback>
    </mc:AlternateContent>
    <mc:AlternateContent xmlns:mc="http://schemas.openxmlformats.org/markup-compatibility/2006">
      <mc:Choice Requires="x14">
        <control shapeId="66563" r:id="rId5" name="btnViewWork">
          <controlPr defaultSize="0" autoLine="0" autoPict="0" r:id="rId6">
            <anchor moveWithCells="1">
              <from>
                <xdr:col>0</xdr:col>
                <xdr:colOff>11430</xdr:colOff>
                <xdr:row>17</xdr:row>
                <xdr:rowOff>0</xdr:rowOff>
              </from>
              <to>
                <xdr:col>2</xdr:col>
                <xdr:colOff>0</xdr:colOff>
                <xdr:row>20</xdr:row>
                <xdr:rowOff>7620</xdr:rowOff>
              </to>
            </anchor>
          </controlPr>
        </control>
      </mc:Choice>
      <mc:Fallback>
        <control shapeId="66563" r:id="rId5" name="btnViewWork"/>
      </mc:Fallback>
    </mc:AlternateContent>
    <mc:AlternateContent xmlns:mc="http://schemas.openxmlformats.org/markup-compatibility/2006">
      <mc:Choice Requires="x14">
        <control shapeId="66564" r:id="rId7" name="btnViewQC">
          <controlPr defaultSize="0" autoLine="0" autoPict="0" r:id="rId8">
            <anchor moveWithCells="1">
              <from>
                <xdr:col>0</xdr:col>
                <xdr:colOff>11430</xdr:colOff>
                <xdr:row>21</xdr:row>
                <xdr:rowOff>0</xdr:rowOff>
              </from>
              <to>
                <xdr:col>2</xdr:col>
                <xdr:colOff>0</xdr:colOff>
                <xdr:row>24</xdr:row>
                <xdr:rowOff>7620</xdr:rowOff>
              </to>
            </anchor>
          </controlPr>
        </control>
      </mc:Choice>
      <mc:Fallback>
        <control shapeId="66564" r:id="rId7" name="btnViewQC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883EC77ECF6A49AA5CBAE5344633B2" ma:contentTypeVersion="4" ma:contentTypeDescription="Create a new document." ma:contentTypeScope="" ma:versionID="12e339df22f1063cb3e6b1dc362e9593">
  <xsd:schema xmlns:xsd="http://www.w3.org/2001/XMLSchema" xmlns:xs="http://www.w3.org/2001/XMLSchema" xmlns:p="http://schemas.microsoft.com/office/2006/metadata/properties" xmlns:ns2="5b3cee60-dd70-4222-a755-b8850644071a" targetNamespace="http://schemas.microsoft.com/office/2006/metadata/properties" ma:root="true" ma:fieldsID="b5c428c14ad09b2901b7921decff7b61" ns2:_="">
    <xsd:import namespace="5b3cee60-dd70-4222-a755-b88506440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3cee60-dd70-4222-a755-b88506440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F53FD04-194A-4080-BE7B-34D06AD5B9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3cee60-dd70-4222-a755-b88506440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ED57A74-B978-4915-B82B-9BABCDF1C8F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F2A117-B65A-4EA9-B2F4-EC7D50453A71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5b3cee60-dd70-4222-a755-b8850644071a"/>
    <ds:schemaRef ds:uri="http://www.w3.org/XML/1998/namespace"/>
    <ds:schemaRef ds:uri="http://schemas.microsoft.com/office/infopath/2007/PartnerControl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Start</vt:lpstr>
      <vt:lpstr>Control Panel</vt:lpstr>
      <vt:lpstr>Operator Data</vt:lpstr>
      <vt:lpstr>Work Data</vt:lpstr>
      <vt:lpstr>QC Data</vt:lpstr>
      <vt:lpstr>Project Master Data</vt:lpstr>
      <vt:lpstr>Project A</vt:lpstr>
      <vt:lpstr>test</vt:lpstr>
      <vt:lpstr>Project Data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Zimmermann</dc:creator>
  <cp:lastModifiedBy>Nick Zimmermann</cp:lastModifiedBy>
  <dcterms:created xsi:type="dcterms:W3CDTF">2019-10-01T19:57:17Z</dcterms:created>
  <dcterms:modified xsi:type="dcterms:W3CDTF">2019-12-07T20:34:43Z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0x010100C3883EC77ECF6A49AA5CBAE5344633B2</vt:lpwstr>
  </property>
</Properties>
</file>